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elix/DEV/xltrail-test/"/>
    </mc:Choice>
  </mc:AlternateContent>
  <xr:revisionPtr revIDLastSave="0" documentId="13_ncr:1_{052691BA-E40B-0C4F-B6EB-5096D99F6F2E}" xr6:coauthVersionLast="43" xr6:coauthVersionMax="43" xr10:uidLastSave="{00000000-0000-0000-0000-000000000000}"/>
  <bookViews>
    <workbookView xWindow="680" yWindow="460" windowWidth="28120" windowHeight="17540" tabRatio="500" xr2:uid="{00000000-000D-0000-FFFF-FFFF00000000}"/>
  </bookViews>
  <sheets>
    <sheet name="Sales Plan" sheetId="1" r:id="rId1"/>
    <sheet name="Sheet1" sheetId="2" r:id="rId2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46" i="1" l="1"/>
  <c r="Q47" i="1" s="1"/>
  <c r="Q45" i="1"/>
  <c r="Q42" i="1"/>
  <c r="Q38" i="1"/>
  <c r="Q34" i="1"/>
  <c r="Q30" i="1"/>
  <c r="Q26" i="1"/>
  <c r="Q23" i="1"/>
  <c r="Q20" i="1"/>
  <c r="Q16" i="1"/>
  <c r="Q12" i="1"/>
  <c r="Q8" i="1"/>
  <c r="D8" i="1"/>
  <c r="J46" i="1"/>
  <c r="J45" i="1"/>
  <c r="J42" i="1"/>
  <c r="J38" i="1"/>
  <c r="J34" i="1"/>
  <c r="J30" i="1"/>
  <c r="J26" i="1"/>
  <c r="J23" i="1"/>
  <c r="J20" i="1"/>
  <c r="J16" i="1"/>
  <c r="J12" i="1"/>
  <c r="J8" i="1"/>
  <c r="K8" i="1"/>
  <c r="K12" i="1"/>
  <c r="K16" i="1"/>
  <c r="K20" i="1"/>
  <c r="K23" i="1"/>
  <c r="K26" i="1"/>
  <c r="K30" i="1"/>
  <c r="K34" i="1"/>
  <c r="K38" i="1"/>
  <c r="K42" i="1"/>
  <c r="K45" i="1"/>
  <c r="D45" i="1"/>
  <c r="F45" i="1"/>
  <c r="G45" i="1"/>
  <c r="H45" i="1"/>
  <c r="I45" i="1"/>
  <c r="L45" i="1"/>
  <c r="M45" i="1"/>
  <c r="N45" i="1"/>
  <c r="O45" i="1"/>
  <c r="P45" i="1"/>
  <c r="K46" i="1"/>
  <c r="K47" i="1" s="1"/>
  <c r="D20" i="1"/>
  <c r="F20" i="1"/>
  <c r="G20" i="1"/>
  <c r="H20" i="1"/>
  <c r="I20" i="1"/>
  <c r="L20" i="1"/>
  <c r="M20" i="1"/>
  <c r="N20" i="1"/>
  <c r="O20" i="1"/>
  <c r="P20" i="1"/>
  <c r="R19" i="1"/>
  <c r="R20" i="1" s="1"/>
  <c r="R18" i="1"/>
  <c r="D23" i="1"/>
  <c r="F23" i="1"/>
  <c r="G23" i="1"/>
  <c r="H23" i="1"/>
  <c r="I23" i="1"/>
  <c r="L23" i="1"/>
  <c r="M23" i="1"/>
  <c r="N23" i="1"/>
  <c r="O23" i="1"/>
  <c r="P23" i="1"/>
  <c r="R22" i="1"/>
  <c r="R21" i="1"/>
  <c r="D26" i="1"/>
  <c r="F26" i="1"/>
  <c r="G26" i="1"/>
  <c r="H26" i="1"/>
  <c r="I26" i="1"/>
  <c r="L26" i="1"/>
  <c r="M26" i="1"/>
  <c r="N26" i="1"/>
  <c r="O26" i="1"/>
  <c r="P26" i="1"/>
  <c r="R25" i="1"/>
  <c r="R24" i="1"/>
  <c r="D30" i="1"/>
  <c r="F30" i="1"/>
  <c r="G30" i="1"/>
  <c r="H30" i="1"/>
  <c r="I30" i="1"/>
  <c r="L30" i="1"/>
  <c r="M30" i="1"/>
  <c r="N30" i="1"/>
  <c r="O30" i="1"/>
  <c r="P30" i="1"/>
  <c r="R29" i="1"/>
  <c r="R28" i="1"/>
  <c r="R30" i="1"/>
  <c r="D34" i="1"/>
  <c r="F34" i="1"/>
  <c r="G34" i="1"/>
  <c r="H34" i="1"/>
  <c r="I34" i="1"/>
  <c r="L34" i="1"/>
  <c r="M34" i="1"/>
  <c r="N34" i="1"/>
  <c r="O34" i="1"/>
  <c r="P34" i="1"/>
  <c r="R33" i="1"/>
  <c r="R32" i="1"/>
  <c r="D38" i="1"/>
  <c r="F38" i="1"/>
  <c r="G38" i="1"/>
  <c r="H38" i="1"/>
  <c r="I38" i="1"/>
  <c r="L38" i="1"/>
  <c r="M38" i="1"/>
  <c r="N38" i="1"/>
  <c r="O38" i="1"/>
  <c r="P38" i="1"/>
  <c r="R37" i="1"/>
  <c r="R36" i="1"/>
  <c r="R38" i="1" s="1"/>
  <c r="D42" i="1"/>
  <c r="F42" i="1"/>
  <c r="G42" i="1"/>
  <c r="H42" i="1"/>
  <c r="I42" i="1"/>
  <c r="L42" i="1"/>
  <c r="M42" i="1"/>
  <c r="N42" i="1"/>
  <c r="O42" i="1"/>
  <c r="P42" i="1"/>
  <c r="R41" i="1"/>
  <c r="R40" i="1"/>
  <c r="D46" i="1"/>
  <c r="F46" i="1"/>
  <c r="G46" i="1"/>
  <c r="H46" i="1"/>
  <c r="H47" i="1" s="1"/>
  <c r="I46" i="1"/>
  <c r="I47" i="1" s="1"/>
  <c r="L46" i="1"/>
  <c r="L47" i="1" s="1"/>
  <c r="M46" i="1"/>
  <c r="N46" i="1"/>
  <c r="O46" i="1"/>
  <c r="P46" i="1"/>
  <c r="R15" i="1"/>
  <c r="R14" i="1"/>
  <c r="P16" i="1"/>
  <c r="O16" i="1"/>
  <c r="N16" i="1"/>
  <c r="M16" i="1"/>
  <c r="L16" i="1"/>
  <c r="I16" i="1"/>
  <c r="H16" i="1"/>
  <c r="G16" i="1"/>
  <c r="F16" i="1"/>
  <c r="D16" i="1"/>
  <c r="R11" i="1"/>
  <c r="R10" i="1"/>
  <c r="P12" i="1"/>
  <c r="O12" i="1"/>
  <c r="N12" i="1"/>
  <c r="M12" i="1"/>
  <c r="L12" i="1"/>
  <c r="I12" i="1"/>
  <c r="H12" i="1"/>
  <c r="G12" i="1"/>
  <c r="F12" i="1"/>
  <c r="D12" i="1"/>
  <c r="R7" i="1"/>
  <c r="R6" i="1"/>
  <c r="P8" i="1"/>
  <c r="O8" i="1"/>
  <c r="N8" i="1"/>
  <c r="M8" i="1"/>
  <c r="L8" i="1"/>
  <c r="I8" i="1"/>
  <c r="H8" i="1"/>
  <c r="G8" i="1"/>
  <c r="F8" i="1"/>
  <c r="R23" i="1" l="1"/>
  <c r="R8" i="1"/>
  <c r="R16" i="1"/>
  <c r="M47" i="1"/>
  <c r="R42" i="1"/>
  <c r="R46" i="1"/>
  <c r="R45" i="1"/>
  <c r="R26" i="1"/>
  <c r="F47" i="1"/>
  <c r="O47" i="1"/>
  <c r="D47" i="1"/>
  <c r="J47" i="1"/>
  <c r="R34" i="1"/>
  <c r="G47" i="1"/>
  <c r="R12" i="1"/>
  <c r="P47" i="1"/>
  <c r="N47" i="1"/>
</calcChain>
</file>

<file path=xl/sharedStrings.xml><?xml version="1.0" encoding="utf-8"?>
<sst xmlns="http://schemas.openxmlformats.org/spreadsheetml/2006/main" count="52" uniqueCount="25">
  <si>
    <t>TOTAL</t>
  </si>
  <si>
    <t>PRODUCT NAME</t>
  </si>
  <si>
    <t>MONTHLY TOTALS</t>
  </si>
  <si>
    <t>SALES GOAL</t>
  </si>
  <si>
    <t>YEAR PRIOR</t>
  </si>
  <si>
    <t>YEAR PRIOR TOTAL</t>
  </si>
  <si>
    <t>SALES GOAL TOTAL</t>
  </si>
  <si>
    <t>% OF CHANGE</t>
  </si>
  <si>
    <t>% OF CHANGE TOTAL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</si>
  <si>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</si>
  <si>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</si>
  <si>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</si>
  <si>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</si>
  <si>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</si>
  <si>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</si>
  <si>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</si>
  <si>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</si>
  <si>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</si>
  <si>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</si>
  <si>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</si>
  <si>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SALES PLAN 2017</t>
  </si>
  <si>
    <t>Checks</t>
  </si>
  <si>
    <t>May</t>
  </si>
  <si>
    <t>Testing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</si>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</sst>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[$-409]h:mm\ AM/PM;@"/>
    <numFmt numFmtId="166" formatCode="&quot;$&quot;#,##0.00"/>
    <numFmt numFmtId="167" formatCode="mmm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1"/>
      <name val="Arial"/>
      <family val="2"/>
    </font>
    <font>
      <b/>
      <sz val="36"/>
      <color theme="9" tint="-0.249977111117893"/>
      <name val="Arial"/>
      <family val="2"/>
    </font>
    <font>
      <b/>
      <sz val="26"/>
      <name val="Arial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3" borderId="0" xfId="0" applyFont="1" applyFill="1"/>
    <xf numFmtId="166" fontId="6" fillId="3" borderId="0" xfId="0" applyNumberFormat="1" applyFont="1" applyFill="1"/>
    <xf numFmtId="0" fontId="10" fillId="0" borderId="0" xfId="0" applyFont="1" applyAlignment="1"/>
    <xf numFmtId="0" fontId="8" fillId="4" borderId="4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67" fontId="8" fillId="4" borderId="2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5" fontId="3" fillId="5" borderId="5" xfId="0" applyNumberFormat="1" applyFont="1" applyFill="1" applyBorder="1" applyAlignment="1">
      <alignment horizontal="left" vertical="center" indent="1"/>
    </xf>
    <xf numFmtId="166" fontId="2" fillId="5" borderId="2" xfId="0" applyNumberFormat="1" applyFont="1" applyFill="1" applyBorder="1" applyAlignment="1">
      <alignment horizontal="right" vertical="center" indent="1"/>
    </xf>
    <xf numFmtId="166" fontId="2" fillId="5" borderId="1" xfId="0" applyNumberFormat="1" applyFont="1" applyFill="1" applyBorder="1" applyAlignment="1">
      <alignment horizontal="right" vertical="center" indent="1"/>
    </xf>
    <xf numFmtId="165" fontId="4" fillId="5" borderId="5" xfId="0" applyNumberFormat="1" applyFont="1" applyFill="1" applyBorder="1" applyAlignment="1">
      <alignment horizontal="left" vertical="center" indent="1"/>
    </xf>
    <xf numFmtId="9" fontId="9" fillId="5" borderId="1" xfId="1" applyFont="1" applyFill="1" applyBorder="1" applyAlignment="1">
      <alignment horizontal="right" vertical="center" indent="1"/>
    </xf>
    <xf numFmtId="166" fontId="9" fillId="5" borderId="1" xfId="0" applyNumberFormat="1" applyFont="1" applyFill="1" applyBorder="1" applyAlignment="1">
      <alignment horizontal="right" vertical="center" indent="1"/>
    </xf>
    <xf numFmtId="166" fontId="2" fillId="5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indent="1"/>
    </xf>
    <xf numFmtId="0" fontId="4" fillId="2" borderId="7" xfId="0" applyFont="1" applyFill="1" applyBorder="1" applyAlignment="1">
      <alignment horizontal="left" vertical="center" indent="1"/>
    </xf>
    <xf numFmtId="0" fontId="4" fillId="2" borderId="8" xfId="0" applyFont="1" applyFill="1" applyBorder="1" applyAlignment="1">
      <alignment horizontal="left" vertical="center" indent="1"/>
    </xf>
    <xf numFmtId="165" fontId="3" fillId="5" borderId="9" xfId="0" applyNumberFormat="1" applyFont="1" applyFill="1" applyBorder="1" applyAlignment="1">
      <alignment horizontal="right" vertical="center" indent="1"/>
    </xf>
    <xf numFmtId="165" fontId="3" fillId="5" borderId="10" xfId="0" applyNumberFormat="1" applyFont="1" applyFill="1" applyBorder="1" applyAlignment="1">
      <alignment horizontal="right" vertical="center" indent="1"/>
    </xf>
    <xf numFmtId="165" fontId="4" fillId="5" borderId="9" xfId="0" applyNumberFormat="1" applyFont="1" applyFill="1" applyBorder="1" applyAlignment="1">
      <alignment horizontal="right" vertical="center" indent="1"/>
    </xf>
    <xf numFmtId="165" fontId="4" fillId="5" borderId="10" xfId="0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1</xdr:row>
          <xdr:rowOff>38100</xdr:rowOff>
        </xdr:from>
        <xdr:to>
          <xdr:col>4</xdr:col>
          <xdr:colOff>596900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21"/>
  <sheetViews>
    <sheetView showGridLines="0" tabSelected="1" topLeftCell="D1" zoomScale="80" zoomScaleNormal="80" zoomScalePageLayoutView="80" workbookViewId="0">
      <selection activeCell="J8" sqref="J8"/>
    </sheetView>
  </sheetViews>
  <sheetFormatPr baseColWidth="10" defaultColWidth="10.83203125" defaultRowHeight="16" x14ac:dyDescent="0.2"/>
  <cols>
    <col min="1" max="1" width="1.83203125" style="1" customWidth="1"/>
    <col min="2" max="2" width="24" style="1" customWidth="1"/>
    <col min="3" max="3" width="17.83203125" style="1" customWidth="1"/>
    <col min="4" max="18" width="13.83203125" style="1" customWidth="1"/>
    <col min="19" max="19" width="2.33203125" style="1" customWidth="1"/>
    <col min="20" max="16384" width="10.83203125" style="1"/>
  </cols>
  <sheetData>
    <row r="1" spans="2:18" ht="11" customHeight="1" x14ac:dyDescent="0.2"/>
    <row r="2" spans="2:18" ht="12.75" customHeight="1" x14ac:dyDescent="0.45">
      <c r="B2" s="25" t="s">
        <v>20</v>
      </c>
      <c r="C2" s="25"/>
      <c r="D2" s="6"/>
      <c r="E2" s="6"/>
      <c r="F2" s="6"/>
      <c r="G2" s="6"/>
      <c r="H2" s="6"/>
      <c r="I2" s="6"/>
      <c r="J2" s="6"/>
      <c r="K2" s="6"/>
    </row>
    <row r="3" spans="2:18" ht="22" customHeight="1" x14ac:dyDescent="0.45">
      <c r="B3" s="25"/>
      <c r="C3" s="25"/>
      <c r="D3" s="6"/>
      <c r="E3" s="6"/>
      <c r="F3" s="6"/>
      <c r="G3" s="6"/>
      <c r="H3" s="6"/>
      <c r="I3" s="6"/>
      <c r="J3" s="6"/>
      <c r="K3" s="6"/>
    </row>
    <row r="4" spans="2:18" ht="9" customHeight="1" x14ac:dyDescent="0.2">
      <c r="P4" s="2"/>
      <c r="Q4" s="2"/>
    </row>
    <row r="5" spans="2:18" s="3" customFormat="1" ht="24" customHeight="1" x14ac:dyDescent="0.2">
      <c r="B5" s="7" t="s">
        <v>1</v>
      </c>
      <c r="C5" s="8"/>
      <c r="D5" s="9" t="s">
        <v>24</v>
      </c>
      <c r="E5" s="9" t="s">
        <v>21</v>
      </c>
      <c r="F5" s="9">
        <v>42401</v>
      </c>
      <c r="G5" s="9">
        <v>42430</v>
      </c>
      <c r="H5" s="9">
        <v>42461</v>
      </c>
      <c r="I5" s="9" t="s">
        <v>22</v>
      </c>
      <c r="J5" s="9">
        <v>42522</v>
      </c>
      <c r="K5" s="9">
        <v>42552</v>
      </c>
      <c r="L5" s="9">
        <v>42583</v>
      </c>
      <c r="M5" s="9">
        <v>42614</v>
      </c>
      <c r="N5" s="9">
        <v>42644</v>
      </c>
      <c r="O5" s="9">
        <v>42675</v>
      </c>
      <c r="P5" s="9">
        <v>42705</v>
      </c>
      <c r="Q5" s="9" t="s">
        <v>19</v>
      </c>
      <c r="R5" s="10" t="s">
        <v>0</v>
      </c>
    </row>
    <row r="6" spans="2:18" ht="18" customHeight="1" x14ac:dyDescent="0.2">
      <c r="B6" s="18" t="s">
        <v>9</v>
      </c>
      <c r="C6" s="11" t="s">
        <v>4</v>
      </c>
      <c r="D6" s="12">
        <v>400</v>
      </c>
      <c r="E6" s="17" t="b">
        <v>1</v>
      </c>
      <c r="F6" s="12">
        <v>350</v>
      </c>
      <c r="G6" s="12">
        <v>500</v>
      </c>
      <c r="H6" s="12">
        <v>350</v>
      </c>
      <c r="I6" s="12">
        <v>400</v>
      </c>
      <c r="J6" s="12">
        <v>200</v>
      </c>
      <c r="K6" s="12">
        <v>400</v>
      </c>
      <c r="L6" s="12">
        <v>350</v>
      </c>
      <c r="M6" s="12">
        <v>450</v>
      </c>
      <c r="N6" s="12">
        <v>350</v>
      </c>
      <c r="O6" s="12">
        <v>510</v>
      </c>
      <c r="P6" s="12">
        <v>350</v>
      </c>
      <c r="Q6" s="12">
        <v>350</v>
      </c>
      <c r="R6" s="13">
        <f>SUM(D6:P6)</f>
        <v>4610</v>
      </c>
    </row>
    <row r="7" spans="2:18" ht="18" customHeight="1" x14ac:dyDescent="0.2">
      <c r="B7" s="19"/>
      <c r="C7" s="11" t="s">
        <v>3</v>
      </c>
      <c r="D7" s="13">
        <v>600</v>
      </c>
      <c r="E7" s="17" t="b">
        <v>1</v>
      </c>
      <c r="F7" s="13">
        <v>400</v>
      </c>
      <c r="G7" s="13">
        <v>500</v>
      </c>
      <c r="H7" s="13">
        <v>400</v>
      </c>
      <c r="I7" s="13">
        <v>500</v>
      </c>
      <c r="J7" s="13">
        <v>300</v>
      </c>
      <c r="K7" s="13">
        <v>500</v>
      </c>
      <c r="L7" s="13">
        <v>400</v>
      </c>
      <c r="M7" s="13">
        <v>500</v>
      </c>
      <c r="N7" s="13">
        <v>400</v>
      </c>
      <c r="O7" s="13">
        <v>500</v>
      </c>
      <c r="P7" s="13">
        <v>200</v>
      </c>
      <c r="Q7" s="13">
        <v>400</v>
      </c>
      <c r="R7" s="13">
        <f>SUM(D7:P7)</f>
        <v>5200</v>
      </c>
    </row>
    <row r="8" spans="2:18" ht="24" customHeight="1" x14ac:dyDescent="0.2">
      <c r="B8" s="20"/>
      <c r="C8" s="14" t="s">
        <v>7</v>
      </c>
      <c r="D8" s="15">
        <f t="shared" ref="D8:R8" si="0">(D7-D6)/D6</f>
        <v>0.5</v>
      </c>
      <c r="E8" s="15"/>
      <c r="F8" s="15">
        <f t="shared" si="0"/>
        <v>0.14285714285714285</v>
      </c>
      <c r="G8" s="15">
        <f t="shared" si="0"/>
        <v>0</v>
      </c>
      <c r="H8" s="15">
        <f t="shared" si="0"/>
        <v>0.14285714285714285</v>
      </c>
      <c r="I8" s="15">
        <f t="shared" si="0"/>
        <v>0.25</v>
      </c>
      <c r="J8" s="15">
        <f t="shared" ref="J8" si="1">(J7-J6)/J6</f>
        <v>0.5</v>
      </c>
      <c r="K8" s="15">
        <f t="shared" si="0"/>
        <v>0.25</v>
      </c>
      <c r="L8" s="15">
        <f t="shared" si="0"/>
        <v>0.14285714285714285</v>
      </c>
      <c r="M8" s="15">
        <f t="shared" si="0"/>
        <v>0.1111111111111111</v>
      </c>
      <c r="N8" s="15">
        <f t="shared" si="0"/>
        <v>0.14285714285714285</v>
      </c>
      <c r="O8" s="15">
        <f t="shared" si="0"/>
        <v>-1.9607843137254902E-2</v>
      </c>
      <c r="P8" s="15">
        <f t="shared" si="0"/>
        <v>-0.42857142857142855</v>
      </c>
      <c r="Q8" s="15">
        <f t="shared" ref="Q8" si="2">(Q7-Q6)/Q6</f>
        <v>0.14285714285714285</v>
      </c>
      <c r="R8" s="15">
        <f t="shared" si="0"/>
        <v>0.1279826464208243</v>
      </c>
    </row>
    <row r="9" spans="2:18" ht="8" customHeight="1" x14ac:dyDescent="0.2">
      <c r="B9" s="4"/>
      <c r="C9" s="4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2:18" ht="18" customHeight="1" x14ac:dyDescent="0.2">
      <c r="B10" s="18" t="s">
        <v>10</v>
      </c>
      <c r="C10" s="11" t="s">
        <v>4</v>
      </c>
      <c r="D10" s="12">
        <v>400</v>
      </c>
      <c r="E10" s="17" t="b">
        <v>1</v>
      </c>
      <c r="F10" s="12">
        <v>350</v>
      </c>
      <c r="G10" s="12">
        <v>300</v>
      </c>
      <c r="H10" s="12">
        <v>350</v>
      </c>
      <c r="I10" s="12">
        <v>400</v>
      </c>
      <c r="J10" s="12">
        <v>400</v>
      </c>
      <c r="K10" s="12">
        <v>400</v>
      </c>
      <c r="L10" s="12">
        <v>350</v>
      </c>
      <c r="M10" s="12">
        <v>450</v>
      </c>
      <c r="N10" s="12">
        <v>350</v>
      </c>
      <c r="O10" s="12">
        <v>450</v>
      </c>
      <c r="P10" s="12">
        <v>350</v>
      </c>
      <c r="Q10" s="12">
        <v>350</v>
      </c>
      <c r="R10" s="13">
        <f>SUM(D10:P10)</f>
        <v>4550</v>
      </c>
    </row>
    <row r="11" spans="2:18" ht="18" customHeight="1" x14ac:dyDescent="0.2">
      <c r="B11" s="19"/>
      <c r="C11" s="11" t="s">
        <v>3</v>
      </c>
      <c r="D11" s="13">
        <v>500</v>
      </c>
      <c r="E11" s="17" t="b">
        <v>1</v>
      </c>
      <c r="F11" s="13">
        <v>400</v>
      </c>
      <c r="G11" s="13">
        <v>500</v>
      </c>
      <c r="H11" s="13">
        <v>400</v>
      </c>
      <c r="I11" s="13">
        <v>500</v>
      </c>
      <c r="J11" s="13">
        <v>500</v>
      </c>
      <c r="K11" s="13">
        <v>500</v>
      </c>
      <c r="L11" s="13">
        <v>400</v>
      </c>
      <c r="M11" s="13">
        <v>500</v>
      </c>
      <c r="N11" s="13">
        <v>400</v>
      </c>
      <c r="O11" s="13">
        <v>500</v>
      </c>
      <c r="P11" s="13">
        <v>400</v>
      </c>
      <c r="Q11" s="13">
        <v>400</v>
      </c>
      <c r="R11" s="13">
        <f>SUM(D11:P11)</f>
        <v>5500</v>
      </c>
    </row>
    <row r="12" spans="2:18" ht="24" customHeight="1" x14ac:dyDescent="0.2">
      <c r="B12" s="20"/>
      <c r="C12" s="14" t="s">
        <v>7</v>
      </c>
      <c r="D12" s="15">
        <f t="shared" ref="D12:R12" si="3">(D11-D10)/D10</f>
        <v>0.25</v>
      </c>
      <c r="E12" s="15"/>
      <c r="F12" s="15">
        <f t="shared" si="3"/>
        <v>0.14285714285714285</v>
      </c>
      <c r="G12" s="15">
        <f t="shared" si="3"/>
        <v>0.66666666666666663</v>
      </c>
      <c r="H12" s="15">
        <f t="shared" si="3"/>
        <v>0.14285714285714285</v>
      </c>
      <c r="I12" s="15">
        <f t="shared" si="3"/>
        <v>0.25</v>
      </c>
      <c r="J12" s="15">
        <f t="shared" ref="J12" si="4">(J11-J10)/J10</f>
        <v>0.25</v>
      </c>
      <c r="K12" s="15">
        <f t="shared" si="3"/>
        <v>0.25</v>
      </c>
      <c r="L12" s="15">
        <f t="shared" si="3"/>
        <v>0.14285714285714285</v>
      </c>
      <c r="M12" s="15">
        <f t="shared" si="3"/>
        <v>0.1111111111111111</v>
      </c>
      <c r="N12" s="15">
        <f t="shared" si="3"/>
        <v>0.14285714285714285</v>
      </c>
      <c r="O12" s="15">
        <f t="shared" si="3"/>
        <v>0.1111111111111111</v>
      </c>
      <c r="P12" s="15">
        <f t="shared" si="3"/>
        <v>0.14285714285714285</v>
      </c>
      <c r="Q12" s="15">
        <f t="shared" ref="Q12" si="5">(Q11-Q10)/Q10</f>
        <v>0.14285714285714285</v>
      </c>
      <c r="R12" s="15">
        <f t="shared" si="3"/>
        <v>0.2087912087912088</v>
      </c>
    </row>
    <row r="13" spans="2:18" ht="8" customHeight="1" x14ac:dyDescent="0.2">
      <c r="B13" s="4"/>
      <c r="C13" s="4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</row>
    <row r="14" spans="2:18" ht="18" customHeight="1" x14ac:dyDescent="0.2">
      <c r="B14" s="18" t="s">
        <v>11</v>
      </c>
      <c r="C14" s="11" t="s">
        <v>4</v>
      </c>
      <c r="D14" s="12">
        <v>400</v>
      </c>
      <c r="E14" s="17" t="b">
        <v>1</v>
      </c>
      <c r="F14" s="12">
        <v>350</v>
      </c>
      <c r="G14" s="12">
        <v>300</v>
      </c>
      <c r="H14" s="12">
        <v>350</v>
      </c>
      <c r="I14" s="12">
        <v>400</v>
      </c>
      <c r="J14" s="12">
        <v>400</v>
      </c>
      <c r="K14" s="12">
        <v>400</v>
      </c>
      <c r="L14" s="12">
        <v>350</v>
      </c>
      <c r="M14" s="12">
        <v>450</v>
      </c>
      <c r="N14" s="12">
        <v>350</v>
      </c>
      <c r="O14" s="12">
        <v>450</v>
      </c>
      <c r="P14" s="12">
        <v>350</v>
      </c>
      <c r="Q14" s="12">
        <v>350</v>
      </c>
      <c r="R14" s="13">
        <f>SUM(D14:P14)</f>
        <v>4550</v>
      </c>
    </row>
    <row r="15" spans="2:18" ht="18" customHeight="1" x14ac:dyDescent="0.2">
      <c r="B15" s="19"/>
      <c r="C15" s="11" t="s">
        <v>3</v>
      </c>
      <c r="D15" s="13">
        <v>500</v>
      </c>
      <c r="E15" s="17" t="b">
        <v>1</v>
      </c>
      <c r="F15" s="13">
        <v>400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  <c r="L15" s="13">
        <v>400</v>
      </c>
      <c r="M15" s="13">
        <v>500</v>
      </c>
      <c r="N15" s="13">
        <v>400</v>
      </c>
      <c r="O15" s="13">
        <v>500</v>
      </c>
      <c r="P15" s="13">
        <v>400</v>
      </c>
      <c r="Q15" s="13">
        <v>400</v>
      </c>
      <c r="R15" s="13">
        <f>SUM(D15:P15)</f>
        <v>5500</v>
      </c>
    </row>
    <row r="16" spans="2:18" ht="24" customHeight="1" x14ac:dyDescent="0.2">
      <c r="B16" s="20"/>
      <c r="C16" s="14" t="s">
        <v>7</v>
      </c>
      <c r="D16" s="15">
        <f t="shared" ref="D16:R16" si="6">(D15-D14)/D14</f>
        <v>0.25</v>
      </c>
      <c r="E16" s="15"/>
      <c r="F16" s="15">
        <f t="shared" si="6"/>
        <v>0.14285714285714285</v>
      </c>
      <c r="G16" s="15">
        <f t="shared" si="6"/>
        <v>0.66666666666666663</v>
      </c>
      <c r="H16" s="15">
        <f t="shared" si="6"/>
        <v>0.14285714285714285</v>
      </c>
      <c r="I16" s="15">
        <f t="shared" si="6"/>
        <v>0.25</v>
      </c>
      <c r="J16" s="15">
        <f t="shared" ref="J16" si="7">(J15-J14)/J14</f>
        <v>0.25</v>
      </c>
      <c r="K16" s="15">
        <f t="shared" si="6"/>
        <v>0.25</v>
      </c>
      <c r="L16" s="15">
        <f t="shared" si="6"/>
        <v>0.14285714285714285</v>
      </c>
      <c r="M16" s="15">
        <f t="shared" si="6"/>
        <v>0.1111111111111111</v>
      </c>
      <c r="N16" s="15">
        <f t="shared" si="6"/>
        <v>0.14285714285714285</v>
      </c>
      <c r="O16" s="15">
        <f t="shared" si="6"/>
        <v>0.1111111111111111</v>
      </c>
      <c r="P16" s="15">
        <f t="shared" si="6"/>
        <v>0.14285714285714285</v>
      </c>
      <c r="Q16" s="15">
        <f t="shared" ref="Q16" si="8">(Q15-Q14)/Q14</f>
        <v>0.14285714285714285</v>
      </c>
      <c r="R16" s="15">
        <f t="shared" si="6"/>
        <v>0.2087912087912088</v>
      </c>
    </row>
    <row r="17" spans="2:18" ht="8" customHeight="1" x14ac:dyDescent="0.2">
      <c r="B17" s="4"/>
      <c r="C17" s="4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</row>
    <row r="18" spans="2:18" ht="18" customHeight="1" x14ac:dyDescent="0.2">
      <c r="B18" s="18" t="s">
        <v>12</v>
      </c>
      <c r="C18" s="11" t="s">
        <v>4</v>
      </c>
      <c r="D18" s="12">
        <v>20</v>
      </c>
      <c r="E18" s="17" t="b">
        <v>1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3">
        <f>SUM(D18:P18)</f>
        <v>20</v>
      </c>
    </row>
    <row r="19" spans="2:18" ht="18" customHeight="1" x14ac:dyDescent="0.2">
      <c r="B19" s="19"/>
      <c r="C19" s="11" t="s">
        <v>3</v>
      </c>
      <c r="D19" s="13">
        <v>40</v>
      </c>
      <c r="E19" s="17" t="b">
        <v>1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  <c r="P19" s="13">
        <v>0</v>
      </c>
      <c r="Q19" s="13">
        <v>0</v>
      </c>
      <c r="R19" s="13">
        <f>SUM(D19:P19)</f>
        <v>40</v>
      </c>
    </row>
    <row r="20" spans="2:18" ht="24" customHeight="1" x14ac:dyDescent="0.2">
      <c r="B20" s="20"/>
      <c r="C20" s="14" t="s">
        <v>7</v>
      </c>
      <c r="D20" s="15">
        <f t="shared" ref="D20:R20" si="9">(D19-D18)/D18</f>
        <v>1</v>
      </c>
      <c r="E20" s="15"/>
      <c r="F20" s="15" t="e">
        <f t="shared" si="9"/>
        <v>#DIV/0!</v>
      </c>
      <c r="G20" s="15" t="e">
        <f t="shared" si="9"/>
        <v>#DIV/0!</v>
      </c>
      <c r="H20" s="15" t="e">
        <f t="shared" si="9"/>
        <v>#DIV/0!</v>
      </c>
      <c r="I20" s="15" t="e">
        <f t="shared" si="9"/>
        <v>#DIV/0!</v>
      </c>
      <c r="J20" s="15" t="e">
        <f t="shared" ref="J20" si="10">(J19-J18)/J18</f>
        <v>#DIV/0!</v>
      </c>
      <c r="K20" s="15" t="e">
        <f t="shared" si="9"/>
        <v>#DIV/0!</v>
      </c>
      <c r="L20" s="15" t="e">
        <f t="shared" si="9"/>
        <v>#DIV/0!</v>
      </c>
      <c r="M20" s="15" t="e">
        <f t="shared" si="9"/>
        <v>#DIV/0!</v>
      </c>
      <c r="N20" s="15" t="e">
        <f t="shared" si="9"/>
        <v>#DIV/0!</v>
      </c>
      <c r="O20" s="15" t="e">
        <f t="shared" si="9"/>
        <v>#DIV/0!</v>
      </c>
      <c r="P20" s="15" t="e">
        <f t="shared" si="9"/>
        <v>#DIV/0!</v>
      </c>
      <c r="Q20" s="15" t="e">
        <f t="shared" ref="Q20" si="11">(Q19-Q18)/Q18</f>
        <v>#DIV/0!</v>
      </c>
      <c r="R20" s="15">
        <f t="shared" si="9"/>
        <v>1</v>
      </c>
    </row>
    <row r="21" spans="2:18" ht="18" customHeight="1" x14ac:dyDescent="0.2">
      <c r="B21" s="18" t="s">
        <v>13</v>
      </c>
      <c r="C21" s="11" t="s">
        <v>4</v>
      </c>
      <c r="D21" s="12">
        <v>0</v>
      </c>
      <c r="E21" s="17" t="b">
        <v>1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3">
        <f>SUM(D21:P21)</f>
        <v>0</v>
      </c>
    </row>
    <row r="22" spans="2:18" ht="18" customHeight="1" x14ac:dyDescent="0.2">
      <c r="B22" s="19"/>
      <c r="C22" s="11" t="s">
        <v>3</v>
      </c>
      <c r="D22" s="13">
        <v>0</v>
      </c>
      <c r="E22" s="17" t="b">
        <v>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f>SUM(D22:P22)</f>
        <v>0</v>
      </c>
    </row>
    <row r="23" spans="2:18" ht="24" customHeight="1" x14ac:dyDescent="0.2">
      <c r="B23" s="20"/>
      <c r="C23" s="14" t="s">
        <v>7</v>
      </c>
      <c r="D23" s="15" t="e">
        <f t="shared" ref="D23:R23" si="12">(D22-D21)/D21</f>
        <v>#DIV/0!</v>
      </c>
      <c r="E23" s="15"/>
      <c r="F23" s="15" t="e">
        <f t="shared" si="12"/>
        <v>#DIV/0!</v>
      </c>
      <c r="G23" s="15" t="e">
        <f t="shared" si="12"/>
        <v>#DIV/0!</v>
      </c>
      <c r="H23" s="15" t="e">
        <f t="shared" si="12"/>
        <v>#DIV/0!</v>
      </c>
      <c r="I23" s="15" t="e">
        <f t="shared" si="12"/>
        <v>#DIV/0!</v>
      </c>
      <c r="J23" s="15" t="e">
        <f t="shared" ref="J23" si="13">(J22-J21)/J21</f>
        <v>#DIV/0!</v>
      </c>
      <c r="K23" s="15" t="e">
        <f t="shared" si="12"/>
        <v>#DIV/0!</v>
      </c>
      <c r="L23" s="15" t="e">
        <f t="shared" si="12"/>
        <v>#DIV/0!</v>
      </c>
      <c r="M23" s="15" t="e">
        <f t="shared" si="12"/>
        <v>#DIV/0!</v>
      </c>
      <c r="N23" s="15" t="e">
        <f t="shared" si="12"/>
        <v>#DIV/0!</v>
      </c>
      <c r="O23" s="15" t="e">
        <f t="shared" si="12"/>
        <v>#DIV/0!</v>
      </c>
      <c r="P23" s="15" t="e">
        <f t="shared" si="12"/>
        <v>#DIV/0!</v>
      </c>
      <c r="Q23" s="15" t="e">
        <f t="shared" ref="Q23" si="14">(Q22-Q21)/Q21</f>
        <v>#DIV/0!</v>
      </c>
      <c r="R23" s="15" t="e">
        <f t="shared" si="12"/>
        <v>#DIV/0!</v>
      </c>
    </row>
    <row r="24" spans="2:18" ht="18" customHeight="1" x14ac:dyDescent="0.2">
      <c r="B24" s="18" t="s">
        <v>14</v>
      </c>
      <c r="C24" s="11" t="s">
        <v>4</v>
      </c>
      <c r="D24" s="12">
        <v>0</v>
      </c>
      <c r="E24" s="17" t="b">
        <v>1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3">
        <f>SUM(D24:P24)</f>
        <v>0</v>
      </c>
    </row>
    <row r="25" spans="2:18" ht="18" customHeight="1" x14ac:dyDescent="0.2">
      <c r="B25" s="19"/>
      <c r="C25" s="11" t="s">
        <v>3</v>
      </c>
      <c r="D25" s="13">
        <v>0</v>
      </c>
      <c r="E25" s="17" t="b">
        <v>1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f>SUM(D25:P25)</f>
        <v>0</v>
      </c>
    </row>
    <row r="26" spans="2:18" ht="24" customHeight="1" x14ac:dyDescent="0.2">
      <c r="B26" s="20"/>
      <c r="C26" s="14" t="s">
        <v>7</v>
      </c>
      <c r="D26" s="15" t="e">
        <f t="shared" ref="D26" si="15">(D25-D24)/D24</f>
        <v>#DIV/0!</v>
      </c>
      <c r="E26" s="15"/>
      <c r="F26" s="15" t="e">
        <f t="shared" ref="F26" si="16">(F25-F24)/F24</f>
        <v>#DIV/0!</v>
      </c>
      <c r="G26" s="15" t="e">
        <f t="shared" ref="G26" si="17">(G25-G24)/G24</f>
        <v>#DIV/0!</v>
      </c>
      <c r="H26" s="15" t="e">
        <f t="shared" ref="H26" si="18">(H25-H24)/H24</f>
        <v>#DIV/0!</v>
      </c>
      <c r="I26" s="15" t="e">
        <f t="shared" ref="I26:J26" si="19">(I25-I24)/I24</f>
        <v>#DIV/0!</v>
      </c>
      <c r="J26" s="15" t="e">
        <f t="shared" si="19"/>
        <v>#DIV/0!</v>
      </c>
      <c r="K26" s="15" t="e">
        <f t="shared" ref="K26" si="20">(K25-K24)/K24</f>
        <v>#DIV/0!</v>
      </c>
      <c r="L26" s="15" t="e">
        <f t="shared" ref="L26" si="21">(L25-L24)/L24</f>
        <v>#DIV/0!</v>
      </c>
      <c r="M26" s="15" t="e">
        <f t="shared" ref="M26" si="22">(M25-M24)/M24</f>
        <v>#DIV/0!</v>
      </c>
      <c r="N26" s="15" t="e">
        <f t="shared" ref="N26" si="23">(N25-N24)/N24</f>
        <v>#DIV/0!</v>
      </c>
      <c r="O26" s="15" t="e">
        <f t="shared" ref="O26" si="24">(O25-O24)/O24</f>
        <v>#DIV/0!</v>
      </c>
      <c r="P26" s="15" t="e">
        <f t="shared" ref="P26:Q26" si="25">(P25-P24)/P24</f>
        <v>#DIV/0!</v>
      </c>
      <c r="Q26" s="15" t="e">
        <f t="shared" si="25"/>
        <v>#DIV/0!</v>
      </c>
      <c r="R26" s="15" t="e">
        <f t="shared" ref="R26" si="26">(R25-R24)/R24</f>
        <v>#DIV/0!</v>
      </c>
    </row>
    <row r="27" spans="2:18" ht="8" customHeight="1" x14ac:dyDescent="0.2">
      <c r="B27" s="4"/>
      <c r="C27" s="4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 ht="18" customHeight="1" x14ac:dyDescent="0.2">
      <c r="B28" s="18" t="s">
        <v>15</v>
      </c>
      <c r="C28" s="11" t="s">
        <v>4</v>
      </c>
      <c r="D28" s="12">
        <v>0</v>
      </c>
      <c r="E28" s="17" t="b">
        <v>1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3">
        <f>SUM(D28:P28)</f>
        <v>0</v>
      </c>
    </row>
    <row r="29" spans="2:18" ht="18" customHeight="1" x14ac:dyDescent="0.2">
      <c r="B29" s="19"/>
      <c r="C29" s="11" t="s">
        <v>3</v>
      </c>
      <c r="D29" s="13">
        <v>0</v>
      </c>
      <c r="E29" s="17" t="b">
        <v>1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f>SUM(D29:P29)</f>
        <v>0</v>
      </c>
    </row>
    <row r="30" spans="2:18" ht="24" customHeight="1" x14ac:dyDescent="0.2">
      <c r="B30" s="20"/>
      <c r="C30" s="14" t="s">
        <v>7</v>
      </c>
      <c r="D30" s="15" t="e">
        <f t="shared" ref="D30" si="27">(D29-D28)/D28</f>
        <v>#DIV/0!</v>
      </c>
      <c r="E30" s="15"/>
      <c r="F30" s="15" t="e">
        <f t="shared" ref="F30" si="28">(F29-F28)/F28</f>
        <v>#DIV/0!</v>
      </c>
      <c r="G30" s="15" t="e">
        <f t="shared" ref="G30" si="29">(G29-G28)/G28</f>
        <v>#DIV/0!</v>
      </c>
      <c r="H30" s="15" t="e">
        <f t="shared" ref="H30" si="30">(H29-H28)/H28</f>
        <v>#DIV/0!</v>
      </c>
      <c r="I30" s="15" t="e">
        <f t="shared" ref="I30:J30" si="31">(I29-I28)/I28</f>
        <v>#DIV/0!</v>
      </c>
      <c r="J30" s="15" t="e">
        <f t="shared" si="31"/>
        <v>#DIV/0!</v>
      </c>
      <c r="K30" s="15" t="e">
        <f t="shared" ref="K30" si="32">(K29-K28)/K28</f>
        <v>#DIV/0!</v>
      </c>
      <c r="L30" s="15" t="e">
        <f t="shared" ref="L30" si="33">(L29-L28)/L28</f>
        <v>#DIV/0!</v>
      </c>
      <c r="M30" s="15" t="e">
        <f t="shared" ref="M30" si="34">(M29-M28)/M28</f>
        <v>#DIV/0!</v>
      </c>
      <c r="N30" s="15" t="e">
        <f t="shared" ref="N30" si="35">(N29-N28)/N28</f>
        <v>#DIV/0!</v>
      </c>
      <c r="O30" s="15" t="e">
        <f t="shared" ref="O30" si="36">(O29-O28)/O28</f>
        <v>#DIV/0!</v>
      </c>
      <c r="P30" s="15" t="e">
        <f t="shared" ref="P30:Q30" si="37">(P29-P28)/P28</f>
        <v>#DIV/0!</v>
      </c>
      <c r="Q30" s="15" t="e">
        <f t="shared" si="37"/>
        <v>#DIV/0!</v>
      </c>
      <c r="R30" s="15" t="e">
        <f t="shared" ref="R30" si="38">(R29-R28)/R28</f>
        <v>#DIV/0!</v>
      </c>
    </row>
    <row r="31" spans="2:18" ht="8" customHeight="1" x14ac:dyDescent="0.2">
      <c r="B31" s="4"/>
      <c r="C31" s="4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 ht="18" customHeight="1" x14ac:dyDescent="0.2">
      <c r="B32" s="18" t="s">
        <v>16</v>
      </c>
      <c r="C32" s="11" t="s">
        <v>4</v>
      </c>
      <c r="D32" s="12">
        <v>0</v>
      </c>
      <c r="E32" s="17" t="b">
        <v>1</v>
      </c>
      <c r="F32" s="12">
        <v>0</v>
      </c>
      <c r="G32" s="12">
        <v>0</v>
      </c>
      <c r="H32" s="12">
        <v>0</v>
      </c>
      <c r="I32" s="12">
        <v>0</v>
      </c>
      <c r="J32" s="12">
        <v>0</v>
      </c>
      <c r="K32" s="12">
        <v>0</v>
      </c>
      <c r="L32" s="12">
        <v>0</v>
      </c>
      <c r="M32" s="12">
        <v>0</v>
      </c>
      <c r="N32" s="12">
        <v>0</v>
      </c>
      <c r="O32" s="12">
        <v>0</v>
      </c>
      <c r="P32" s="12">
        <v>0</v>
      </c>
      <c r="Q32" s="12">
        <v>0</v>
      </c>
      <c r="R32" s="13">
        <f>SUM(D32:P32)</f>
        <v>0</v>
      </c>
    </row>
    <row r="33" spans="2:18" ht="18" customHeight="1" x14ac:dyDescent="0.2">
      <c r="B33" s="19"/>
      <c r="C33" s="11" t="s">
        <v>3</v>
      </c>
      <c r="D33" s="13">
        <v>0</v>
      </c>
      <c r="E33" s="17" t="b">
        <v>1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f>SUM(D33:P33)</f>
        <v>0</v>
      </c>
    </row>
    <row r="34" spans="2:18" ht="24" customHeight="1" x14ac:dyDescent="0.2">
      <c r="B34" s="20"/>
      <c r="C34" s="14" t="s">
        <v>7</v>
      </c>
      <c r="D34" s="15" t="e">
        <f t="shared" ref="D34" si="39">(D33-D32)/D32</f>
        <v>#DIV/0!</v>
      </c>
      <c r="E34" s="15"/>
      <c r="F34" s="15" t="e">
        <f t="shared" ref="F34" si="40">(F33-F32)/F32</f>
        <v>#DIV/0!</v>
      </c>
      <c r="G34" s="15" t="e">
        <f t="shared" ref="G34" si="41">(G33-G32)/G32</f>
        <v>#DIV/0!</v>
      </c>
      <c r="H34" s="15" t="e">
        <f t="shared" ref="H34" si="42">(H33-H32)/H32</f>
        <v>#DIV/0!</v>
      </c>
      <c r="I34" s="15" t="e">
        <f t="shared" ref="I34:J34" si="43">(I33-I32)/I32</f>
        <v>#DIV/0!</v>
      </c>
      <c r="J34" s="15" t="e">
        <f t="shared" si="43"/>
        <v>#DIV/0!</v>
      </c>
      <c r="K34" s="15" t="e">
        <f t="shared" ref="K34" si="44">(K33-K32)/K32</f>
        <v>#DIV/0!</v>
      </c>
      <c r="L34" s="15" t="e">
        <f t="shared" ref="L34" si="45">(L33-L32)/L32</f>
        <v>#DIV/0!</v>
      </c>
      <c r="M34" s="15" t="e">
        <f t="shared" ref="M34" si="46">(M33-M32)/M32</f>
        <v>#DIV/0!</v>
      </c>
      <c r="N34" s="15" t="e">
        <f t="shared" ref="N34" si="47">(N33-N32)/N32</f>
        <v>#DIV/0!</v>
      </c>
      <c r="O34" s="15" t="e">
        <f t="shared" ref="O34" si="48">(O33-O32)/O32</f>
        <v>#DIV/0!</v>
      </c>
      <c r="P34" s="15" t="e">
        <f t="shared" ref="P34:Q34" si="49">(P33-P32)/P32</f>
        <v>#DIV/0!</v>
      </c>
      <c r="Q34" s="15" t="e">
        <f t="shared" si="49"/>
        <v>#DIV/0!</v>
      </c>
      <c r="R34" s="15" t="e">
        <f t="shared" ref="R34" si="50">(R33-R32)/R32</f>
        <v>#DIV/0!</v>
      </c>
    </row>
    <row r="35" spans="2:18" ht="8" customHeight="1" x14ac:dyDescent="0.2">
      <c r="B35" s="4"/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 ht="18" customHeight="1" x14ac:dyDescent="0.2">
      <c r="B36" s="18" t="s">
        <v>17</v>
      </c>
      <c r="C36" s="11" t="s">
        <v>4</v>
      </c>
      <c r="D36" s="12">
        <v>0</v>
      </c>
      <c r="E36" s="17" t="b">
        <v>1</v>
      </c>
      <c r="F36" s="12">
        <v>0</v>
      </c>
      <c r="G36" s="12">
        <v>0</v>
      </c>
      <c r="H36" s="12">
        <v>0</v>
      </c>
      <c r="I36" s="12">
        <v>0</v>
      </c>
      <c r="J36" s="12">
        <v>0</v>
      </c>
      <c r="K36" s="12">
        <v>0</v>
      </c>
      <c r="L36" s="12">
        <v>0</v>
      </c>
      <c r="M36" s="12">
        <v>0</v>
      </c>
      <c r="N36" s="12">
        <v>0</v>
      </c>
      <c r="O36" s="12">
        <v>0</v>
      </c>
      <c r="P36" s="12">
        <v>0</v>
      </c>
      <c r="Q36" s="12">
        <v>0</v>
      </c>
      <c r="R36" s="13">
        <f>SUM(D36:P36)</f>
        <v>0</v>
      </c>
    </row>
    <row r="37" spans="2:18" ht="18" customHeight="1" x14ac:dyDescent="0.2">
      <c r="B37" s="19"/>
      <c r="C37" s="11" t="s">
        <v>3</v>
      </c>
      <c r="D37" s="13">
        <v>0</v>
      </c>
      <c r="E37" s="17" t="b">
        <v>1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f>SUM(D37:P37)</f>
        <v>0</v>
      </c>
    </row>
    <row r="38" spans="2:18" ht="24" customHeight="1" x14ac:dyDescent="0.2">
      <c r="B38" s="20"/>
      <c r="C38" s="14" t="s">
        <v>7</v>
      </c>
      <c r="D38" s="15" t="e">
        <f t="shared" ref="D38" si="51">(D37-D36)/D36</f>
        <v>#DIV/0!</v>
      </c>
      <c r="E38" s="15"/>
      <c r="F38" s="15" t="e">
        <f t="shared" ref="F38" si="52">(F37-F36)/F36</f>
        <v>#DIV/0!</v>
      </c>
      <c r="G38" s="15" t="e">
        <f t="shared" ref="G38" si="53">(G37-G36)/G36</f>
        <v>#DIV/0!</v>
      </c>
      <c r="H38" s="15" t="e">
        <f t="shared" ref="H38" si="54">(H37-H36)/H36</f>
        <v>#DIV/0!</v>
      </c>
      <c r="I38" s="15" t="e">
        <f t="shared" ref="I38:J38" si="55">(I37-I36)/I36</f>
        <v>#DIV/0!</v>
      </c>
      <c r="J38" s="15" t="e">
        <f t="shared" si="55"/>
        <v>#DIV/0!</v>
      </c>
      <c r="K38" s="15" t="e">
        <f t="shared" ref="K38" si="56">(K37-K36)/K36</f>
        <v>#DIV/0!</v>
      </c>
      <c r="L38" s="15" t="e">
        <f t="shared" ref="L38" si="57">(L37-L36)/L36</f>
        <v>#DIV/0!</v>
      </c>
      <c r="M38" s="15" t="e">
        <f t="shared" ref="M38" si="58">(M37-M36)/M36</f>
        <v>#DIV/0!</v>
      </c>
      <c r="N38" s="15" t="e">
        <f t="shared" ref="N38" si="59">(N37-N36)/N36</f>
        <v>#DIV/0!</v>
      </c>
      <c r="O38" s="15" t="e">
        <f t="shared" ref="O38" si="60">(O37-O36)/O36</f>
        <v>#DIV/0!</v>
      </c>
      <c r="P38" s="15" t="e">
        <f t="shared" ref="P38:Q38" si="61">(P37-P36)/P36</f>
        <v>#DIV/0!</v>
      </c>
      <c r="Q38" s="15" t="e">
        <f t="shared" si="61"/>
        <v>#DIV/0!</v>
      </c>
      <c r="R38" s="15" t="e">
        <f t="shared" ref="R38" si="62">(R37-R36)/R36</f>
        <v>#DIV/0!</v>
      </c>
    </row>
    <row r="39" spans="2:18" ht="8" customHeight="1" x14ac:dyDescent="0.2">
      <c r="B39" s="4"/>
      <c r="C39" s="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 ht="18" customHeight="1" x14ac:dyDescent="0.2">
      <c r="B40" s="18" t="s">
        <v>18</v>
      </c>
      <c r="C40" s="11" t="s">
        <v>4</v>
      </c>
      <c r="D40" s="12">
        <v>0</v>
      </c>
      <c r="E40" s="17" t="b">
        <v>1</v>
      </c>
      <c r="F40" s="12">
        <v>0</v>
      </c>
      <c r="G40" s="12">
        <v>0</v>
      </c>
      <c r="H40" s="12">
        <v>0</v>
      </c>
      <c r="I40" s="12">
        <v>0</v>
      </c>
      <c r="J40" s="12">
        <v>0</v>
      </c>
      <c r="K40" s="12">
        <v>0</v>
      </c>
      <c r="L40" s="12">
        <v>0</v>
      </c>
      <c r="M40" s="12">
        <v>0</v>
      </c>
      <c r="N40" s="12">
        <v>0</v>
      </c>
      <c r="O40" s="12">
        <v>0</v>
      </c>
      <c r="P40" s="12">
        <v>0</v>
      </c>
      <c r="Q40" s="12">
        <v>0</v>
      </c>
      <c r="R40" s="13">
        <f>SUM(D40:P40)</f>
        <v>0</v>
      </c>
    </row>
    <row r="41" spans="2:18" ht="18" customHeight="1" x14ac:dyDescent="0.2">
      <c r="B41" s="19"/>
      <c r="C41" s="11" t="s">
        <v>3</v>
      </c>
      <c r="D41" s="13">
        <v>0</v>
      </c>
      <c r="E41" s="17" t="b">
        <v>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f>SUM(D41:P41)</f>
        <v>0</v>
      </c>
    </row>
    <row r="42" spans="2:18" ht="24" customHeight="1" x14ac:dyDescent="0.2">
      <c r="B42" s="20"/>
      <c r="C42" s="14" t="s">
        <v>7</v>
      </c>
      <c r="D42" s="15" t="e">
        <f t="shared" ref="D42" si="63">(D41-D40)/D40</f>
        <v>#DIV/0!</v>
      </c>
      <c r="E42" s="15"/>
      <c r="F42" s="15" t="e">
        <f t="shared" ref="F42" si="64">(F41-F40)/F40</f>
        <v>#DIV/0!</v>
      </c>
      <c r="G42" s="15" t="e">
        <f t="shared" ref="G42" si="65">(G41-G40)/G40</f>
        <v>#DIV/0!</v>
      </c>
      <c r="H42" s="15" t="e">
        <f t="shared" ref="H42" si="66">(H41-H40)/H40</f>
        <v>#DIV/0!</v>
      </c>
      <c r="I42" s="15" t="e">
        <f t="shared" ref="I42:J42" si="67">(I41-I40)/I40</f>
        <v>#DIV/0!</v>
      </c>
      <c r="J42" s="15" t="e">
        <f t="shared" si="67"/>
        <v>#DIV/0!</v>
      </c>
      <c r="K42" s="15" t="e">
        <f t="shared" ref="K42" si="68">(K41-K40)/K40</f>
        <v>#DIV/0!</v>
      </c>
      <c r="L42" s="15" t="e">
        <f t="shared" ref="L42" si="69">(L41-L40)/L40</f>
        <v>#DIV/0!</v>
      </c>
      <c r="M42" s="15" t="e">
        <f t="shared" ref="M42" si="70">(M41-M40)/M40</f>
        <v>#DIV/0!</v>
      </c>
      <c r="N42" s="15" t="e">
        <f t="shared" ref="N42" si="71">(N41-N40)/N40</f>
        <v>#DIV/0!</v>
      </c>
      <c r="O42" s="15" t="e">
        <f t="shared" ref="O42" si="72">(O41-O40)/O40</f>
        <v>#DIV/0!</v>
      </c>
      <c r="P42" s="15" t="e">
        <f t="shared" ref="P42:Q42" si="73">(P41-P40)/P40</f>
        <v>#DIV/0!</v>
      </c>
      <c r="Q42" s="15" t="e">
        <f t="shared" si="73"/>
        <v>#DIV/0!</v>
      </c>
      <c r="R42" s="15" t="e">
        <f t="shared" ref="R42" si="74">(R41-R40)/R40</f>
        <v>#DIV/0!</v>
      </c>
    </row>
    <row r="43" spans="2:18" ht="8" customHeight="1" x14ac:dyDescent="0.2">
      <c r="B43" s="4"/>
      <c r="C43" s="4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 ht="18" customHeight="1" x14ac:dyDescent="0.2">
      <c r="B44" s="9"/>
      <c r="C44" s="9"/>
      <c r="D44" s="9" t="s">
        <v>2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</row>
    <row r="45" spans="2:18" ht="18" customHeight="1" x14ac:dyDescent="0.2">
      <c r="B45" s="21" t="s">
        <v>5</v>
      </c>
      <c r="C45" s="22"/>
      <c r="D45" s="16">
        <f>SUM(D6,D10,D14,D18,D21,D24,D28,D32,D36,D40)</f>
        <v>1220</v>
      </c>
      <c r="E45" s="16"/>
      <c r="F45" s="16">
        <f t="shared" ref="F45:Q45" si="75">SUM(F6,F10,F14,F18,F21,F24,F28,F32,F36,F40)</f>
        <v>1050</v>
      </c>
      <c r="G45" s="16">
        <f t="shared" si="75"/>
        <v>1100</v>
      </c>
      <c r="H45" s="16">
        <f t="shared" si="75"/>
        <v>1050</v>
      </c>
      <c r="I45" s="16">
        <f t="shared" si="75"/>
        <v>1200</v>
      </c>
      <c r="J45" s="16">
        <f t="shared" si="75"/>
        <v>1000</v>
      </c>
      <c r="K45" s="16">
        <f t="shared" si="75"/>
        <v>1200</v>
      </c>
      <c r="L45" s="16">
        <f t="shared" si="75"/>
        <v>1050</v>
      </c>
      <c r="M45" s="16">
        <f t="shared" si="75"/>
        <v>1350</v>
      </c>
      <c r="N45" s="16">
        <f t="shared" si="75"/>
        <v>1050</v>
      </c>
      <c r="O45" s="16">
        <f t="shared" si="75"/>
        <v>1410</v>
      </c>
      <c r="P45" s="16">
        <f t="shared" si="75"/>
        <v>1050</v>
      </c>
      <c r="Q45" s="16">
        <f t="shared" si="75"/>
        <v>1050</v>
      </c>
      <c r="R45" s="16">
        <f>SUM(D45:P45)</f>
        <v>13730</v>
      </c>
    </row>
    <row r="46" spans="2:18" ht="18" customHeight="1" x14ac:dyDescent="0.2">
      <c r="B46" s="21" t="s">
        <v>6</v>
      </c>
      <c r="C46" s="22"/>
      <c r="D46" s="13">
        <f>SUM(D7,D11,D15,D19,D22,D25,D29,D33,D37,D41)</f>
        <v>1640</v>
      </c>
      <c r="E46" s="13"/>
      <c r="F46" s="13">
        <f t="shared" ref="F46:Q46" si="76">SUM(F7,F11,F15,F19,F22,F25,F29,F33,F37,F41)</f>
        <v>1200</v>
      </c>
      <c r="G46" s="13">
        <f t="shared" si="76"/>
        <v>1500</v>
      </c>
      <c r="H46" s="13">
        <f t="shared" si="76"/>
        <v>1200</v>
      </c>
      <c r="I46" s="13">
        <f t="shared" si="76"/>
        <v>1500</v>
      </c>
      <c r="J46" s="13">
        <f t="shared" si="76"/>
        <v>1300</v>
      </c>
      <c r="K46" s="13">
        <f t="shared" si="76"/>
        <v>1500</v>
      </c>
      <c r="L46" s="13">
        <f t="shared" si="76"/>
        <v>1200</v>
      </c>
      <c r="M46" s="13">
        <f t="shared" si="76"/>
        <v>1500</v>
      </c>
      <c r="N46" s="13">
        <f t="shared" si="76"/>
        <v>1200</v>
      </c>
      <c r="O46" s="13">
        <f t="shared" si="76"/>
        <v>1500</v>
      </c>
      <c r="P46" s="13">
        <f t="shared" si="76"/>
        <v>1000</v>
      </c>
      <c r="Q46" s="13">
        <f t="shared" si="76"/>
        <v>1200</v>
      </c>
      <c r="R46" s="13">
        <f>SUM(D46:P46)</f>
        <v>16240</v>
      </c>
    </row>
    <row r="47" spans="2:18" ht="24" customHeight="1" x14ac:dyDescent="0.2">
      <c r="B47" s="23" t="s">
        <v>8</v>
      </c>
      <c r="C47" s="24"/>
      <c r="D47" s="15">
        <f t="shared" ref="D47" si="77">(D46-D45)/D45</f>
        <v>0.34426229508196721</v>
      </c>
      <c r="E47" s="15"/>
      <c r="F47" s="15">
        <f t="shared" ref="F47" si="78">(F46-F45)/F45</f>
        <v>0.14285714285714285</v>
      </c>
      <c r="G47" s="15">
        <f t="shared" ref="G47" si="79">(G46-G45)/G45</f>
        <v>0.36363636363636365</v>
      </c>
      <c r="H47" s="15">
        <f t="shared" ref="H47" si="80">(H46-H45)/H45</f>
        <v>0.14285714285714285</v>
      </c>
      <c r="I47" s="15">
        <f t="shared" ref="I47:J47" si="81">(I46-I45)/I45</f>
        <v>0.25</v>
      </c>
      <c r="J47" s="15">
        <f t="shared" si="81"/>
        <v>0.3</v>
      </c>
      <c r="K47" s="15">
        <f t="shared" ref="K47" si="82">(K46-K45)/K45</f>
        <v>0.25</v>
      </c>
      <c r="L47" s="15">
        <f t="shared" ref="L47" si="83">(L46-L45)/L45</f>
        <v>0.14285714285714285</v>
      </c>
      <c r="M47" s="15">
        <f t="shared" ref="M47" si="84">(M46-M45)/M45</f>
        <v>0.1111111111111111</v>
      </c>
      <c r="N47" s="15">
        <f t="shared" ref="N47" si="85">(N46-N45)/N45</f>
        <v>0.14285714285714285</v>
      </c>
      <c r="O47" s="15">
        <f t="shared" ref="O47" si="86">(O46-O45)/O45</f>
        <v>6.3829787234042548E-2</v>
      </c>
      <c r="P47" s="15">
        <f t="shared" ref="P47:Q47" si="87">(P46-P45)/P45</f>
        <v>-4.7619047619047616E-2</v>
      </c>
      <c r="Q47" s="15">
        <f t="shared" si="87"/>
        <v>0.14285714285714285</v>
      </c>
      <c r="R47" s="15">
        <v>0.22</v>
      </c>
    </row>
    <row r="48" spans="2:18" ht="8" customHeight="1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</row>
    <row r="221" spans="18:18" x14ac:dyDescent="0.2">
      <c r="R221" s="1">
        <v>232</v>
      </c>
    </row>
  </sheetData>
  <mergeCells count="14">
    <mergeCell ref="B6:B8"/>
    <mergeCell ref="B10:B12"/>
    <mergeCell ref="B46:C46"/>
    <mergeCell ref="B47:C47"/>
    <mergeCell ref="B2:C3"/>
    <mergeCell ref="B32:B34"/>
    <mergeCell ref="B36:B38"/>
    <mergeCell ref="B40:B42"/>
    <mergeCell ref="B45:C45"/>
    <mergeCell ref="B14:B16"/>
    <mergeCell ref="B18:B20"/>
    <mergeCell ref="B21:B23"/>
    <mergeCell ref="B24:B26"/>
    <mergeCell ref="B28:B30"/>
  </mergeCells>
  <pageMargins left="0.7" right="0.7" top="0.75" bottom="0.75" header="0.3" footer="0.3"/>
  <pageSetup scale="48" orientation="landscape" horizontalDpi="300" verticalDpi="300" r:id="rId1"/>
  <ignoredErrors>
    <ignoredError sqref="F20:I20 F23:I23 F26:I26 F30:I30 F34:I34 F38:I38 F42:I42 R20 R23 R26 R30 R34 R38 R42 K42:P42 K38:P38 K34:P34 K30:P30 K26:P26 K23:P23 K20:P20 D42 D38 D34 D30 D26 D23 D2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596900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 Plan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Felix Zumstein</cp:lastModifiedBy>
  <cp:lastPrinted>2017-02-12T10:41:29Z</cp:lastPrinted>
  <dcterms:created xsi:type="dcterms:W3CDTF">2016-04-14T06:00:05Z</dcterms:created>
  <dcterms:modified xsi:type="dcterms:W3CDTF">2019-06-20T12:14:56Z</dcterms:modified>
</cp:coreProperties>
</file>